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gitlab\fw-optomos-output\Documents\"/>
    </mc:Choice>
  </mc:AlternateContent>
  <xr:revisionPtr revIDLastSave="0" documentId="13_ncr:1_{F09F2DDD-DD05-4D9D-A694-7BDC30DF1B0F}" xr6:coauthVersionLast="47" xr6:coauthVersionMax="47" xr10:uidLastSave="{00000000-0000-0000-0000-000000000000}"/>
  <bookViews>
    <workbookView xWindow="25245" yWindow="45" windowWidth="26025" windowHeight="20775"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1" i="25" l="1"/>
  <c r="I72" i="25" s="1"/>
  <c r="K71" i="25"/>
  <c r="L73" i="25"/>
  <c r="L72" i="25"/>
  <c r="L71" i="25"/>
  <c r="L70" i="25"/>
  <c r="K70" i="25"/>
  <c r="K83" i="25"/>
  <c r="K64" i="25"/>
  <c r="L65" i="25"/>
  <c r="I65" i="25"/>
  <c r="K65" i="25" s="1"/>
  <c r="L64" i="25"/>
  <c r="L83"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8" i="25"/>
  <c r="F9" i="25"/>
  <c r="F10" i="25"/>
  <c r="I73" i="25" l="1"/>
  <c r="K73" i="25" s="1"/>
  <c r="K72" i="25"/>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39" i="25" l="1"/>
  <c r="I40" i="25" l="1"/>
  <c r="K39" i="25"/>
  <c r="I41" i="25" l="1"/>
  <c r="K41" i="25" s="1"/>
  <c r="K40" i="25"/>
  <c r="I18" i="25" l="1"/>
  <c r="F12" i="25"/>
  <c r="F7"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<sst xmlns="http://schemas.openxmlformats.org/spreadsheetml/2006/main" count="418" uniqueCount="269">
  <si>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</si>
  <si>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</si>
  <si>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</si>
  <si>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</si>
  <si>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</si>
  <si>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</si>
  <si>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</si>
  <si>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</si>
  <si>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</si>
  <si>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</si>
  <si>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</si>
  <si>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</si>
  <si>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</si>
  <si>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</si>
  <si>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</si>
  <si>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</si>
  <si>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</si>
  <si>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</si>
  <si>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</si>
  <si>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</si>
  <si>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</si>
  <si>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</si>
  <si>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</si>
  <si>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</si>
  <si>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</si>
  <si>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</si>
  <si>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</si>
  <si>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</si>
  <si>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</si>
  <si>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</si>
  <si>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</si>
  <si>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</si>
  <si>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</si>
  <si>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</si>
  <si>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</si>
  <si>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</si>
  <si>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</si>
  <si>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</si>
  <si>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</si>
  <si>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</si>
  <si>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</si>
  <si>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</si>
  <si>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</si>
  <si>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</si>
  <si>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</si>
  <si>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</si>
  <si>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</si>
  <si>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</si>
  <si>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</si>
  <si>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</si>
  <si>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</si>
  <si>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</si>
  <si>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</si>
  <si>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</si>
  <si>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</si>
  <si>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</si>
  <si>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</si>
  <si>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</si>
  <si>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</si>
  <si>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</si>
  <si>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</si>
  <si>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</si>
  <si>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</si>
  <si>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</si>
  <si>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</si>
  <si>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</si>
  <si>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</si>
  <si>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</si>
  <si>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</si>
  <si>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</si>
  <si>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</si>
  <si>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</si>
  <si>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</si>
  <si>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</si>
  <si>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</si>
  <si>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</si>
  <si>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</si>
  <si>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</si>
  <si>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</si>
  <si>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</si>
  <si>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</si>
  <si>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</si>
  <si>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</si>
  <si>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</si>
  <si>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</si>
  <si>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</si>
  <si>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</si>
  <si>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</si>
  <si>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</si>
  <si>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</si>
  <si>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</si>
  <si>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</si>
  <si>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</si>
  <si>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</si>
  <si>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</si>
  <si>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</si>
  <si>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</si>
  <si>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</si>
  <si>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</si>
  <si>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</si>
  <si>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</si>
  <si>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</si>
  <si>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</si>
  <si>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</si>
  <si>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</si>
  <si>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</si>
  <si>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</si>
  <si>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</si>
  <si>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</si>
  <si>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</si>
  <si>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</si>
  <si>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</si>
  <si>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</si>
  <si>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</si>
  <si>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</si>
  <si>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</si>
  <si>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</si>
  <si>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</si>
  <si>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</si>
  <si>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</si>
  <si>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</si>
  <si>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</si>
  <si>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</si>
  <si>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</si>
  <si>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</si>
  <si>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</si>
  <si>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</si>
  <si>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</si>
  <si>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</si>
  <si>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</si>
  <si>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</si>
  <si>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</si>
  <si>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</si>
  <si>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</si>
  <si>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</si>
  <si>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</si>
  <si>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</si>
  <si>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</si>
  <si>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</si>
  <si>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</si>
  <si>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</si>
  <si>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</si>
  <si>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</si>
  <si>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</si>
  <si>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</si>
  <si>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</si>
  <si>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</si>
  <si>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</si>
  <si>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</si>
  <si>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</si>
  <si>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</si>
  <si>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</si>
  <si>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</si>
  <si>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</si>
  <si>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</si>
  <si>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</si>
  <si>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</si>
  <si>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</si>
  <si>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</si>
  <si>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</si>
  <si>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</si>
  <si>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</si>
  <si>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</si>
  <si>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</si>
  <si>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</si>
  <si>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</si>
  <si>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</si>
  <si>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</si>
  <si>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</si>
  <si>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</si>
  <si>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</si>
  <si>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</si>
  <si>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</si>
  <si>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</si>
  <si>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</si>
  <si>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</si>
  <si>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</si>
  <si>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</si>
  <si>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</si>
  <si>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</si>
  <si>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</si>
  <si>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</si>
  <si>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</si>
  <si>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</si>
  <si>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</si>
  <si>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</si>
  <si>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</si>
  <si>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</si>
  <si>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</si>
  <si>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</si>
  <si>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</si>
  <si>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</si>
  <si>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</si>
  <si>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</si>
  <si>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</si>
  <si>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</si>
  <si>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</si>
  <si>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</si>
  <si>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</si>
  <si>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</si>
  <si>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</si>
  <si>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</si>
  <si>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</si>
  <si>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</si>
  <si>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</si>
  <si>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</si>
  <si>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</si>
  <si>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</si>
  <si>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</si>
  <si>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</si>
  <si>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</si>
  <si>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</si>
  <si>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</si>
  <si>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</si>
  <si>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</si>
  <si>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</si>
  <si>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</si>
  <si>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</si>
  <si>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</si>
  <si>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</si>
  <si>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</si>
  <si>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</si>
  <si>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</si>
  <si>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</si>
  <si>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</si>
  <si>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</si>
  <si>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</si>
  <si>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</si>
  <si>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</si>
  <si>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</si>
  <si>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</si>
  <si>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</si>
  <si>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</si>
  <si>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</si>
  <si>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</si>
  <si>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</si>
  <si>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</si>
  <si>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</si>
  <si>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</si>
  <si>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</si>
  <si>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</si>
  <si>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</si>
  <si>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</si>
  <si>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</si>
  <si>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</si>
  <si>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Set calibration resistance values to all channels.
Value 0 - calibration disabled
Value 1 - 8 - 100k low values 0 - 7
Value 9 - 16 - 100k FS values 31, 63, … 255
Value 17 - 24 - 2 x 1k FS values 31, 63, … 255</t>
  </si>
  <si>
    <t>D:\work\gitlab\fw-optomos-output\Documents\txts\OptoOutMod_Define.txt</t>
  </si>
  <si>
    <t>D:\work\gitlab\fw-optomos-output\Documents\txts\OptoOutMod_Storage.txt</t>
  </si>
  <si>
    <t>D:\work\gitlab\fw-optomos-output\Documents\txts\OptoOutMod_Factory.txt</t>
  </si>
  <si>
    <t>D:\work\gitlab\fw-optomos-output\Documents\txts\reg_map.c</t>
  </si>
  <si>
    <t>D:\work\gitlab\fw-optomos-output\Documents\txts\OptoOutMod_registers.json</t>
  </si>
  <si>
    <t>D:\work\gitlab\fw-optomos-output\Documents\txts\OptoOutModRegs.py</t>
  </si>
  <si>
    <t>D:\work\gitlab\fw-optomos-output\Documents\txts\OptoOutMod_Modbus.json</t>
  </si>
  <si>
    <t>OUT</t>
  </si>
  <si>
    <t>OUTPUT</t>
  </si>
  <si>
    <t>Optomos outputs</t>
  </si>
  <si>
    <t>Debug purpose</t>
  </si>
  <si>
    <t>STATE</t>
  </si>
  <si>
    <t>State of all outputs</t>
  </si>
  <si>
    <t>SET</t>
  </si>
  <si>
    <t>CLEAR</t>
  </si>
  <si>
    <t>Default output state</t>
  </si>
  <si>
    <t>State of all outputs after device start / restart</t>
  </si>
  <si>
    <t>Current state of all outputs</t>
  </si>
  <si>
    <t>Clear outputs by mask</t>
  </si>
  <si>
    <t>Set outputs by mask</t>
  </si>
  <si>
    <t>Set output</t>
  </si>
  <si>
    <t>Clear output</t>
  </si>
  <si>
    <t>DEFAULT_STATE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</si>
</sst>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3"/>
  <sheetViews>
    <sheetView tabSelected="1" zoomScaleNormal="100" workbookViewId="0">
      <selection activeCell="P11" sqref="P11"/>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249</v>
      </c>
      <c r="T3" s="31"/>
    </row>
    <row r="4" spans="1:26" ht="24.95" customHeight="1" x14ac:dyDescent="0.25">
      <c r="D4" s="31" t="s">
        <v>18</v>
      </c>
      <c r="E4" s="31"/>
      <c r="F4" s="31" t="s">
        <v>113</v>
      </c>
      <c r="J4" s="3" t="s">
        <v>1</v>
      </c>
      <c r="K4" s="9" t="s">
        <v>5</v>
      </c>
      <c r="L4" s="8" t="s">
        <v>246</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32">
        <v>1</v>
      </c>
      <c r="J6" s="3" t="s">
        <v>1</v>
      </c>
      <c r="K6" s="9" t="s">
        <v>17</v>
      </c>
      <c r="L6" s="8" t="s">
        <v>247</v>
      </c>
      <c r="M6" s="11"/>
      <c r="U6" s="12" t="s">
        <v>1</v>
      </c>
      <c r="Z6" s="10"/>
    </row>
    <row r="7" spans="1:26" ht="24.95" customHeight="1" x14ac:dyDescent="0.25">
      <c r="D7" s="31" t="s">
        <v>143</v>
      </c>
      <c r="E7" s="13"/>
      <c r="F7" s="31" t="str">
        <f>GetWorkName()</f>
        <v>OptoOutMod</v>
      </c>
      <c r="J7" s="3" t="s">
        <v>1</v>
      </c>
      <c r="K7" s="9" t="s">
        <v>21</v>
      </c>
      <c r="L7" s="8" t="s">
        <v>248</v>
      </c>
      <c r="M7" s="11"/>
      <c r="U7" s="12" t="s">
        <v>1</v>
      </c>
      <c r="Z7" s="10"/>
    </row>
    <row r="8" spans="1:26" ht="24.95" customHeight="1" x14ac:dyDescent="0.25">
      <c r="D8" s="31" t="s">
        <v>117</v>
      </c>
      <c r="E8" s="13"/>
      <c r="F8" s="31" t="str">
        <f>GetPath()&amp;"\..\Firmware\OptomosOutput-APP\Core\Common\"</f>
        <v>D:\work\gitlab\fw-optomos-output\Documents\..\Firmware\OptomosOutput-APP\Core\Common\</v>
      </c>
      <c r="J8" s="3" t="s">
        <v>1</v>
      </c>
      <c r="K8" s="9" t="s">
        <v>145</v>
      </c>
      <c r="L8" s="8" t="s">
        <v>252</v>
      </c>
      <c r="M8" s="11"/>
      <c r="U8" s="12" t="s">
        <v>1</v>
      </c>
      <c r="Z8" s="10"/>
    </row>
    <row r="9" spans="1:26" ht="24.95" customHeight="1" x14ac:dyDescent="0.25">
      <c r="D9" s="31" t="s">
        <v>148</v>
      </c>
      <c r="E9" s="13"/>
      <c r="F9" s="31" t="str">
        <f>GetPath()&amp;"\..\Firmware\OptomosOutput-APP\Core\Serial\"</f>
        <v>D:\work\gitlab\fw-optomos-output\Documents\..\Firmware\OptomosOutput-APP\Core\Serial\</v>
      </c>
      <c r="J9" s="3"/>
      <c r="K9" s="9" t="s">
        <v>1</v>
      </c>
      <c r="L9" s="8" t="s">
        <v>251</v>
      </c>
      <c r="M9" s="11"/>
      <c r="Z9" s="10"/>
    </row>
    <row r="10" spans="1:26" ht="24.95" customHeight="1" x14ac:dyDescent="0.25">
      <c r="D10" s="31" t="s">
        <v>153</v>
      </c>
      <c r="E10" s="13"/>
      <c r="F10" s="31" t="str">
        <f>GetPath()&amp;"\..\Tests\optomos-output\"</f>
        <v>D:\work\gitlab\fw-optomos-output\Documents\..\Tests\optomos-output\</v>
      </c>
      <c r="K10" s="9" t="s">
        <v>154</v>
      </c>
      <c r="L10" s="8" t="s">
        <v>250</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189</v>
      </c>
      <c r="M24" t="s">
        <v>190</v>
      </c>
      <c r="N24" s="29"/>
      <c r="O24" s="29"/>
      <c r="P24" s="29"/>
      <c r="Q24" s="29"/>
      <c r="R24" s="29"/>
      <c r="T24" t="s">
        <v>191</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193</v>
      </c>
      <c r="N29" s="29"/>
      <c r="O29" s="29">
        <v>0</v>
      </c>
      <c r="P29" s="3" t="s">
        <v>194</v>
      </c>
      <c r="Q29" s="29"/>
      <c r="R29" s="29"/>
      <c r="T29" t="s">
        <v>195</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196</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197</v>
      </c>
      <c r="N44" s="29">
        <v>1</v>
      </c>
      <c r="O44" s="29">
        <v>0</v>
      </c>
      <c r="P44" s="29">
        <v>4</v>
      </c>
      <c r="Q44" s="29"/>
      <c r="R44" s="29"/>
      <c r="S44" s="29"/>
      <c r="T44" t="s">
        <v>198</v>
      </c>
    </row>
    <row r="45" spans="1:23" s="34" customFormat="1" x14ac:dyDescent="0.2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199</v>
      </c>
      <c r="M45" s="41">
        <v>9600</v>
      </c>
      <c r="N45" s="29"/>
      <c r="O45" s="29"/>
      <c r="P45" s="29"/>
      <c r="Q45" s="29"/>
      <c r="R45" s="29"/>
      <c r="S45" s="29"/>
      <c r="T45" t="s">
        <v>200</v>
      </c>
    </row>
    <row r="46" spans="1:23" s="34" customFormat="1" x14ac:dyDescent="0.2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201</v>
      </c>
      <c r="M46" s="41">
        <v>19200</v>
      </c>
      <c r="N46" s="29"/>
      <c r="O46" s="29"/>
      <c r="P46" s="29"/>
      <c r="Q46" s="29"/>
      <c r="R46" s="29"/>
      <c r="S46" s="29"/>
      <c r="T46" t="s">
        <v>202</v>
      </c>
    </row>
    <row r="47" spans="1:23" s="34" customFormat="1" x14ac:dyDescent="0.2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203</v>
      </c>
      <c r="M47" s="41">
        <v>38400</v>
      </c>
      <c r="N47" s="29"/>
      <c r="O47" s="29"/>
      <c r="P47" s="29"/>
      <c r="Q47" s="29"/>
      <c r="R47" s="29"/>
      <c r="S47" s="29"/>
      <c r="T47" t="s">
        <v>204</v>
      </c>
    </row>
    <row r="48" spans="1:23" s="34" customFormat="1" x14ac:dyDescent="0.2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205</v>
      </c>
      <c r="M48" s="41">
        <v>57600</v>
      </c>
      <c r="N48" s="29"/>
      <c r="O48" s="29"/>
      <c r="P48" s="29"/>
      <c r="Q48" s="29"/>
      <c r="R48" s="29"/>
      <c r="S48" s="29"/>
      <c r="T48" t="s">
        <v>206</v>
      </c>
    </row>
    <row r="49" spans="4:20" s="34" customFormat="1" x14ac:dyDescent="0.2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207</v>
      </c>
      <c r="M49" s="41">
        <v>115200</v>
      </c>
      <c r="N49" s="29"/>
      <c r="O49" s="29"/>
      <c r="P49" s="29"/>
      <c r="Q49" s="29"/>
      <c r="R49" s="29"/>
      <c r="S49" s="29"/>
      <c r="T49" t="s">
        <v>208</v>
      </c>
    </row>
    <row r="50" spans="4:20" s="34" customFormat="1" x14ac:dyDescent="0.25">
      <c r="D50" s="40"/>
      <c r="E50" t="s">
        <v>209</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210</v>
      </c>
      <c r="N50" s="29">
        <v>1</v>
      </c>
      <c r="O50" s="29">
        <v>0</v>
      </c>
      <c r="P50" s="29">
        <v>2</v>
      </c>
      <c r="Q50" s="29"/>
      <c r="R50" s="29"/>
      <c r="S50" s="29"/>
      <c r="T50" t="s">
        <v>211</v>
      </c>
    </row>
    <row r="51" spans="4:20" s="34" customFormat="1" x14ac:dyDescent="0.2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212</v>
      </c>
      <c r="M51" s="41" t="s">
        <v>213</v>
      </c>
      <c r="N51" s="29"/>
      <c r="O51" s="29"/>
      <c r="P51" s="29"/>
      <c r="Q51" s="29"/>
      <c r="R51" s="29"/>
      <c r="S51" s="29"/>
      <c r="T51" t="s">
        <v>214</v>
      </c>
    </row>
    <row r="52" spans="4:20" s="34" customFormat="1" x14ac:dyDescent="0.2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215</v>
      </c>
      <c r="M52" t="s">
        <v>216</v>
      </c>
      <c r="N52" s="29"/>
      <c r="O52" s="29"/>
      <c r="P52" s="29"/>
      <c r="Q52" s="29"/>
      <c r="R52" s="29"/>
      <c r="S52" s="29"/>
      <c r="T52" t="s">
        <v>217</v>
      </c>
    </row>
    <row r="53" spans="4:20" s="34" customFormat="1" x14ac:dyDescent="0.2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218</v>
      </c>
      <c r="M53" t="s">
        <v>219</v>
      </c>
      <c r="N53" s="29"/>
      <c r="O53" s="29"/>
      <c r="P53" s="29"/>
      <c r="Q53" s="29"/>
      <c r="R53" s="29"/>
      <c r="S53" s="29"/>
      <c r="T53" t="s">
        <v>220</v>
      </c>
    </row>
    <row r="54" spans="4:20" s="34" customFormat="1" x14ac:dyDescent="0.25">
      <c r="D54" s="40"/>
      <c r="E54" t="s">
        <v>221</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222</v>
      </c>
      <c r="N54" s="29">
        <v>0</v>
      </c>
      <c r="O54" s="29">
        <v>0</v>
      </c>
      <c r="P54" s="29">
        <v>1</v>
      </c>
      <c r="Q54" s="29"/>
      <c r="R54" s="29"/>
      <c r="S54" s="29"/>
      <c r="T54" t="s">
        <v>223</v>
      </c>
    </row>
    <row r="55" spans="4:20" s="34" customFormat="1" x14ac:dyDescent="0.2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224</v>
      </c>
      <c r="M55" t="s">
        <v>225</v>
      </c>
      <c r="N55" s="29"/>
      <c r="O55" s="29"/>
      <c r="P55" s="29"/>
      <c r="Q55" s="29"/>
      <c r="R55" s="29"/>
      <c r="S55" s="29"/>
      <c r="T55" t="s">
        <v>225</v>
      </c>
    </row>
    <row r="56" spans="4:20" s="34" customFormat="1" x14ac:dyDescent="0.2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226</v>
      </c>
      <c r="M56" t="s">
        <v>227</v>
      </c>
      <c r="N56" s="29"/>
      <c r="O56" s="29"/>
      <c r="P56" s="29"/>
      <c r="Q56" s="29"/>
      <c r="R56" s="29"/>
      <c r="S56" s="29"/>
      <c r="T56" t="s">
        <v>227</v>
      </c>
    </row>
    <row r="57" spans="4:20" s="34" customFormat="1" x14ac:dyDescent="0.25">
      <c r="D57" s="40"/>
      <c r="E57" t="s">
        <v>228</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229</v>
      </c>
      <c r="S57" s="29"/>
      <c r="T57"/>
    </row>
    <row r="58" spans="4:20" s="34" customFormat="1" x14ac:dyDescent="0.25">
      <c r="D58" s="40"/>
      <c r="E58" t="s">
        <v>230</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231</v>
      </c>
      <c r="N58" s="29">
        <v>32</v>
      </c>
      <c r="O58" s="29">
        <v>32</v>
      </c>
      <c r="P58" s="29">
        <v>63</v>
      </c>
      <c r="Q58" s="29"/>
      <c r="R58" s="29" t="s">
        <v>229</v>
      </c>
      <c r="S58" s="29"/>
      <c r="T58" t="s">
        <v>232</v>
      </c>
    </row>
    <row r="59" spans="4:20" s="34" customFormat="1" x14ac:dyDescent="0.25">
      <c r="D59" s="40"/>
      <c r="E59" t="s">
        <v>233</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234</v>
      </c>
      <c r="N59" s="29"/>
      <c r="O59" s="29">
        <v>0</v>
      </c>
      <c r="P59" s="29">
        <v>1</v>
      </c>
      <c r="Q59" s="29"/>
      <c r="R59" s="29"/>
      <c r="S59" s="29"/>
      <c r="T59" t="s">
        <v>235</v>
      </c>
    </row>
    <row r="60" spans="4:20" s="34" customFormat="1" x14ac:dyDescent="0.25">
      <c r="D60" s="40"/>
      <c r="E60" t="s">
        <v>236</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190</v>
      </c>
      <c r="N60" s="29">
        <v>10</v>
      </c>
      <c r="O60" s="29">
        <v>0</v>
      </c>
      <c r="P60" s="29">
        <v>7200</v>
      </c>
      <c r="Q60" s="3" t="s">
        <v>124</v>
      </c>
      <c r="R60" s="29"/>
      <c r="S60" s="29"/>
      <c r="T60" t="s">
        <v>237</v>
      </c>
    </row>
    <row r="61" spans="4:20" s="34" customFormat="1" x14ac:dyDescent="0.25">
      <c r="D61" s="40"/>
      <c r="F61" s="29"/>
      <c r="K61" s="10"/>
      <c r="N61" s="29"/>
      <c r="O61" s="29"/>
      <c r="P61" s="29"/>
      <c r="Q61" s="29"/>
      <c r="R61" s="29"/>
    </row>
    <row r="63" spans="4:20" s="34" customFormat="1" x14ac:dyDescent="0.25">
      <c r="D63" s="40"/>
      <c r="F63" s="29"/>
      <c r="G63" s="29"/>
      <c r="H63" s="29"/>
      <c r="I63" s="29"/>
      <c r="J63" s="29"/>
      <c r="K63" s="10"/>
      <c r="L63" s="29"/>
      <c r="N63" s="29"/>
      <c r="O63" s="29"/>
      <c r="P63" s="29"/>
      <c r="Q63" s="29"/>
      <c r="R63" s="29"/>
      <c r="S63" s="29"/>
      <c r="T63"/>
    </row>
    <row r="64" spans="4:20" s="34" customFormat="1" x14ac:dyDescent="0.25">
      <c r="D64" s="40"/>
      <c r="E64" s="2" t="s">
        <v>243</v>
      </c>
      <c r="F64" s="3" t="s">
        <v>183</v>
      </c>
      <c r="G64" s="5" t="s">
        <v>48</v>
      </c>
      <c r="H64" s="18" t="s">
        <v>50</v>
      </c>
      <c r="I64" s="33">
        <v>0</v>
      </c>
      <c r="J64" s="29">
        <v>2</v>
      </c>
      <c r="K64" s="10" t="str">
        <f xml:space="preserve"> IFERROR("0x" &amp; DEC2HEX(VLOOKUP(F64,Common!$C$10:$D$34,2,FALSE),2) &amp; DEC2HEX(I64,3) &amp; DEC2HEX(VLOOKUP(G64,Common!$C$51:$D$55,2,FALSE),1) &amp; DEC2HEX(1+2*VLOOKUP(H64,Common!$C$69:$D$72,2,FALSE),1) &amp; DEC2HEX(IFERROR(LOG(J64,2),0),1),0)</f>
        <v>0x04000151</v>
      </c>
      <c r="L64" s="29" t="str">
        <f>IF(AND(LEN(E64)&lt;&gt;0,S64=""),F64&amp;"_"&amp;UPPER(E64),"")</f>
        <v>CALIB_MODE</v>
      </c>
      <c r="M64" t="s">
        <v>244</v>
      </c>
      <c r="N64" s="29">
        <v>0</v>
      </c>
      <c r="O64" s="29">
        <v>0</v>
      </c>
      <c r="P64" s="29">
        <v>24</v>
      </c>
      <c r="Q64" s="29"/>
      <c r="R64" s="29"/>
      <c r="S64" s="3"/>
      <c r="T64" t="s">
        <v>245</v>
      </c>
    </row>
    <row r="65" spans="1:35" s="34" customFormat="1" x14ac:dyDescent="0.25">
      <c r="D65" s="40"/>
      <c r="E65" s="2" t="s">
        <v>228</v>
      </c>
      <c r="F65" s="3" t="s">
        <v>183</v>
      </c>
      <c r="G65" s="5" t="s">
        <v>48</v>
      </c>
      <c r="H65" s="18" t="s">
        <v>50</v>
      </c>
      <c r="I65" s="33">
        <f xml:space="preserve"> I64+J64</f>
        <v>2</v>
      </c>
      <c r="J65" s="29">
        <v>2</v>
      </c>
      <c r="K65" s="10" t="str">
        <f xml:space="preserve"> IFERROR("0x" &amp; DEC2HEX(VLOOKUP(F65,Common!$C$10:$D$34,2,FALSE),2) &amp; DEC2HEX(I65,3) &amp; DEC2HEX(VLOOKUP(G65,Common!$C$51:$D$55,2,FALSE),1) &amp; DEC2HEX(1+2*VLOOKUP(H65,Common!$C$69:$D$72,2,FALSE),1) &amp; DEC2HEX(IFERROR(LOG(J65,2),0),1),0)</f>
        <v>0x04002151</v>
      </c>
      <c r="L65" s="29" t="str">
        <f t="shared" ref="L65:L67" si="7">IF(AND(LEN(E65)&lt;&gt;0,S65=""),F65&amp;"_"&amp;UPPER(E65),"")</f>
        <v>CALIB_RESERVED</v>
      </c>
      <c r="M65" t="s">
        <v>89</v>
      </c>
      <c r="N65" s="29"/>
      <c r="O65" s="29"/>
      <c r="P65" s="29"/>
      <c r="Q65" s="29"/>
      <c r="R65" s="29"/>
      <c r="S65" s="3"/>
      <c r="T65" t="s">
        <v>52</v>
      </c>
    </row>
    <row r="66" spans="1:35" s="34" customFormat="1" x14ac:dyDescent="0.25">
      <c r="D66" s="40"/>
      <c r="E66"/>
      <c r="F66" s="3"/>
      <c r="G66" s="3"/>
      <c r="H66" s="3"/>
      <c r="I66" s="33"/>
      <c r="J66" s="3"/>
      <c r="K66" s="10"/>
      <c r="L66" s="29"/>
      <c r="M66"/>
      <c r="N66" s="29"/>
      <c r="O66" s="29"/>
      <c r="P66" s="29"/>
      <c r="Q66" s="3"/>
      <c r="R66" s="3"/>
      <c r="T66"/>
    </row>
    <row r="67" spans="1:35" s="34" customFormat="1" x14ac:dyDescent="0.25">
      <c r="D67" s="40"/>
      <c r="E67"/>
      <c r="F67" s="3"/>
      <c r="G67" s="3"/>
      <c r="H67" s="3"/>
      <c r="I67" s="33"/>
      <c r="J67" s="3"/>
      <c r="K67" s="10"/>
      <c r="L67" s="29"/>
      <c r="M67"/>
      <c r="N67" s="29"/>
      <c r="O67" s="29"/>
      <c r="P67" s="29"/>
      <c r="Q67" s="3"/>
      <c r="R67" s="3"/>
      <c r="T67"/>
    </row>
    <row r="68" spans="1:35" s="34" customFormat="1" x14ac:dyDescent="0.25">
      <c r="D68" s="40"/>
      <c r="E68"/>
      <c r="F68" s="3"/>
      <c r="G68" s="3"/>
      <c r="H68" s="3"/>
      <c r="I68" s="33"/>
      <c r="J68" s="3"/>
      <c r="K68" s="10"/>
      <c r="L68" s="29"/>
      <c r="M68"/>
      <c r="N68" s="29"/>
      <c r="O68" s="29"/>
      <c r="P68" s="29"/>
      <c r="Q68" s="3"/>
      <c r="R68" s="3"/>
      <c r="T68"/>
    </row>
    <row r="69" spans="1:35" s="10" customFormat="1" x14ac:dyDescent="0.25">
      <c r="A69" s="12"/>
      <c r="B69" s="12"/>
      <c r="C69" s="12"/>
      <c r="D69"/>
      <c r="E69" s="24"/>
      <c r="F69" s="23"/>
      <c r="G69" s="23"/>
      <c r="H69" s="26"/>
      <c r="I69" s="22"/>
      <c r="J69" s="22"/>
      <c r="L69" s="22"/>
      <c r="M69" s="21"/>
      <c r="N69" s="22"/>
      <c r="O69" s="22"/>
      <c r="P69" s="22"/>
      <c r="Q69" s="22"/>
      <c r="R69" s="28"/>
      <c r="S69" s="22"/>
      <c r="T69" s="21"/>
      <c r="U69"/>
      <c r="V69"/>
      <c r="W69"/>
      <c r="X69"/>
      <c r="Y69"/>
      <c r="Z69" s="12"/>
      <c r="AA69" s="12"/>
      <c r="AB69" s="12"/>
      <c r="AC69" s="12"/>
      <c r="AD69" s="12"/>
      <c r="AE69" s="12"/>
      <c r="AF69" s="12"/>
      <c r="AG69" s="12"/>
      <c r="AH69" s="12"/>
      <c r="AI69" s="12"/>
    </row>
    <row r="70" spans="1:35" s="34" customFormat="1" x14ac:dyDescent="0.25">
      <c r="D70" s="40"/>
      <c r="E70" t="s">
        <v>257</v>
      </c>
      <c r="F70" s="3" t="s">
        <v>253</v>
      </c>
      <c r="G70" s="3" t="s">
        <v>44</v>
      </c>
      <c r="H70" s="3" t="s">
        <v>50</v>
      </c>
      <c r="I70" s="33">
        <v>0</v>
      </c>
      <c r="J70" s="29">
        <v>2</v>
      </c>
      <c r="K70" s="10" t="str">
        <f xml:space="preserve"> IFERROR("0x" &amp; DEC2HEX(VLOOKUP(F70,Common!$C$10:$D$34,2,FALSE),2) &amp; DEC2HEX(I70,3) &amp; DEC2HEX(VLOOKUP(G70,Common!$C$51:$D$55,2,FALSE),1) &amp; DEC2HEX(1+2*VLOOKUP(H70,Common!$C$69:$D$72,2,FALSE),1) &amp; DEC2HEX(IFERROR(LOG(J70,2),0),1),0)</f>
        <v>0x05000051</v>
      </c>
      <c r="L70" s="29" t="str">
        <f>IF(AND(LEN(E70)&lt;&gt;0,S70=""),F70&amp;"_"&amp;UPPER(E70),"")</f>
        <v>OUT_STATE</v>
      </c>
      <c r="M70" t="s">
        <v>258</v>
      </c>
      <c r="N70" s="29"/>
      <c r="O70" s="29"/>
      <c r="P70" s="29"/>
      <c r="Q70" s="29"/>
      <c r="R70" s="3"/>
      <c r="T70" t="s">
        <v>263</v>
      </c>
    </row>
    <row r="71" spans="1:35" s="34" customFormat="1" x14ac:dyDescent="0.25">
      <c r="D71" s="40"/>
      <c r="E71" t="s">
        <v>268</v>
      </c>
      <c r="F71" s="3" t="s">
        <v>253</v>
      </c>
      <c r="G71" s="3" t="s">
        <v>44</v>
      </c>
      <c r="H71" s="3" t="s">
        <v>47</v>
      </c>
      <c r="I71" s="33">
        <f xml:space="preserve"> I70+J70</f>
        <v>2</v>
      </c>
      <c r="J71" s="29">
        <v>2</v>
      </c>
      <c r="K71" s="10" t="str">
        <f xml:space="preserve"> IFERROR("0x" &amp; DEC2HEX(VLOOKUP(F71,Common!$C$10:$D$34,2,FALSE),2) &amp; DEC2HEX(I71,3) &amp; DEC2HEX(VLOOKUP(G71,Common!$C$51:$D$55,2,FALSE),1) &amp; DEC2HEX(1+2*VLOOKUP(H71,Common!$C$69:$D$72,2,FALSE),1) &amp; DEC2HEX(IFERROR(LOG(J71,2),0),1),0)</f>
        <v>0x05002071</v>
      </c>
      <c r="L71" s="3" t="str">
        <f>IF(AND(LEN(E71)&lt;&gt;0,S71=""),F71&amp;"_"&amp;UPPER(E71),"")</f>
        <v>OUT_DEFAULT_STATE</v>
      </c>
      <c r="M71" t="s">
        <v>261</v>
      </c>
      <c r="N71" s="29">
        <v>0</v>
      </c>
      <c r="O71" s="29"/>
      <c r="P71" s="29"/>
      <c r="Q71" s="29"/>
      <c r="R71" s="29"/>
      <c r="T71" t="s">
        <v>262</v>
      </c>
    </row>
    <row r="72" spans="1:35" s="34" customFormat="1" x14ac:dyDescent="0.25">
      <c r="D72" s="40"/>
      <c r="E72" t="s">
        <v>259</v>
      </c>
      <c r="F72" s="3" t="s">
        <v>253</v>
      </c>
      <c r="G72" s="3" t="s">
        <v>44</v>
      </c>
      <c r="H72" s="3" t="s">
        <v>50</v>
      </c>
      <c r="I72" s="33">
        <f t="shared" ref="I72:I73" si="8" xml:space="preserve"> I71+J71</f>
        <v>4</v>
      </c>
      <c r="J72" s="29">
        <v>2</v>
      </c>
      <c r="K72" s="10" t="str">
        <f xml:space="preserve"> IFERROR("0x" &amp; DEC2HEX(VLOOKUP(F72,Common!$C$10:$D$34,2,FALSE),2) &amp; DEC2HEX(I72,3) &amp; DEC2HEX(VLOOKUP(G72,Common!$C$51:$D$55,2,FALSE),1) &amp; DEC2HEX(1+2*VLOOKUP(H72,Common!$C$69:$D$72,2,FALSE),1) &amp; DEC2HEX(IFERROR(LOG(J72,2),0),1),0)</f>
        <v>0x05004051</v>
      </c>
      <c r="L72" s="3" t="str">
        <f>IF(AND(LEN(E72)&lt;&gt;0,S72=""),F72&amp;"_"&amp;UPPER(E72),"")</f>
        <v>OUT_SET</v>
      </c>
      <c r="M72" t="s">
        <v>266</v>
      </c>
      <c r="N72" s="29"/>
      <c r="O72" s="29"/>
      <c r="P72" s="29"/>
      <c r="Q72" s="29"/>
      <c r="R72" s="29"/>
      <c r="T72" t="s">
        <v>265</v>
      </c>
    </row>
    <row r="73" spans="1:35" s="34" customFormat="1" x14ac:dyDescent="0.25">
      <c r="D73" s="40"/>
      <c r="E73" t="s">
        <v>260</v>
      </c>
      <c r="F73" s="3" t="s">
        <v>253</v>
      </c>
      <c r="G73" s="3" t="s">
        <v>44</v>
      </c>
      <c r="H73" s="3" t="s">
        <v>50</v>
      </c>
      <c r="I73" s="33">
        <f t="shared" si="8"/>
        <v>6</v>
      </c>
      <c r="J73" s="29">
        <v>2</v>
      </c>
      <c r="K73" s="10" t="str">
        <f xml:space="preserve"> IFERROR("0x" &amp; DEC2HEX(VLOOKUP(F73,Common!$C$10:$D$34,2,FALSE),2) &amp; DEC2HEX(I73,3) &amp; DEC2HEX(VLOOKUP(G73,Common!$C$51:$D$55,2,FALSE),1) &amp; DEC2HEX(1+2*VLOOKUP(H73,Common!$C$69:$D$72,2,FALSE),1) &amp; DEC2HEX(IFERROR(LOG(J73,2),0),1),0)</f>
        <v>0x05006051</v>
      </c>
      <c r="L73" s="3" t="str">
        <f>IF(AND(LEN(E73)&lt;&gt;0,S73=""),F73&amp;"_"&amp;UPPER(E73),"")</f>
        <v>OUT_CLEAR</v>
      </c>
      <c r="M73" t="s">
        <v>267</v>
      </c>
      <c r="N73" s="29"/>
      <c r="O73" s="29"/>
      <c r="P73" s="29"/>
      <c r="Q73" s="29"/>
      <c r="R73" s="29"/>
      <c r="T73" t="s">
        <v>264</v>
      </c>
    </row>
    <row r="74" spans="1:35" s="34" customFormat="1" x14ac:dyDescent="0.25">
      <c r="D74" s="40"/>
      <c r="E74"/>
      <c r="F74" s="3"/>
      <c r="G74" s="3" t="s">
        <v>229</v>
      </c>
      <c r="H74" s="3"/>
      <c r="I74" s="33"/>
      <c r="J74" s="29"/>
      <c r="K74" s="10"/>
      <c r="L74" s="29"/>
      <c r="M74"/>
      <c r="N74" s="29"/>
      <c r="O74" s="29"/>
      <c r="P74" s="29"/>
      <c r="Q74" s="29"/>
      <c r="R74" s="3"/>
      <c r="T74"/>
    </row>
    <row r="75" spans="1:35" s="34" customFormat="1" x14ac:dyDescent="0.25">
      <c r="D75" s="40"/>
      <c r="E75"/>
      <c r="F75" s="3"/>
      <c r="G75" s="3"/>
      <c r="H75" s="3"/>
      <c r="I75" s="33"/>
      <c r="J75" s="29"/>
      <c r="K75" s="10"/>
      <c r="L75" s="29"/>
      <c r="M75"/>
      <c r="N75" s="29"/>
      <c r="O75" s="29"/>
      <c r="P75" s="29"/>
      <c r="Q75" s="29"/>
      <c r="R75" s="29"/>
      <c r="S75" s="29"/>
      <c r="T75"/>
    </row>
    <row r="76" spans="1:35" s="34" customFormat="1" x14ac:dyDescent="0.25">
      <c r="D76" s="40"/>
      <c r="E76"/>
      <c r="F76" s="3"/>
      <c r="G76" s="3"/>
      <c r="H76" s="3"/>
      <c r="I76" s="33"/>
      <c r="J76" s="29"/>
      <c r="K76" s="10"/>
      <c r="L76" s="29"/>
      <c r="M76"/>
      <c r="N76" s="29"/>
      <c r="O76" s="29"/>
      <c r="P76" s="29"/>
      <c r="Q76" s="3"/>
      <c r="R76" s="29"/>
      <c r="S76" s="29"/>
      <c r="T76"/>
    </row>
    <row r="77" spans="1:35" s="34" customFormat="1" x14ac:dyDescent="0.25">
      <c r="D77" s="40"/>
      <c r="E77"/>
      <c r="F77" s="3"/>
      <c r="G77" s="3"/>
      <c r="H77" s="3"/>
      <c r="I77" s="33"/>
      <c r="J77" s="29"/>
      <c r="K77" s="10"/>
      <c r="L77" s="29"/>
      <c r="M77"/>
      <c r="N77" s="29"/>
      <c r="O77" s="29"/>
      <c r="P77" s="29"/>
      <c r="Q77" s="3"/>
      <c r="R77" s="29"/>
      <c r="T77"/>
    </row>
    <row r="78" spans="1:35" s="34" customFormat="1" x14ac:dyDescent="0.25">
      <c r="D78" s="40"/>
      <c r="E78"/>
      <c r="F78" s="3"/>
      <c r="G78" s="3"/>
      <c r="H78" s="3"/>
      <c r="I78" s="33"/>
      <c r="J78" s="29"/>
      <c r="K78" s="10"/>
      <c r="L78" s="29"/>
      <c r="M78"/>
      <c r="N78" s="29"/>
      <c r="O78" s="3"/>
      <c r="P78" s="29"/>
      <c r="Q78" s="3"/>
      <c r="R78" s="3"/>
      <c r="T78"/>
    </row>
    <row r="79" spans="1:35" s="34" customFormat="1" x14ac:dyDescent="0.25">
      <c r="D79" s="40"/>
      <c r="E79"/>
      <c r="F79" s="3"/>
      <c r="G79" s="3"/>
      <c r="H79" s="3"/>
      <c r="I79" s="33"/>
      <c r="J79" s="29"/>
      <c r="K79" s="10"/>
      <c r="L79" s="29"/>
      <c r="M79"/>
      <c r="N79" s="29"/>
      <c r="O79" s="3"/>
      <c r="P79" s="29"/>
      <c r="Q79" s="3"/>
      <c r="R79" s="3"/>
      <c r="T79"/>
    </row>
    <row r="80" spans="1:35" s="34" customFormat="1" x14ac:dyDescent="0.25">
      <c r="D80" s="40"/>
      <c r="E80"/>
      <c r="F80" s="3"/>
      <c r="G80" s="3"/>
      <c r="H80" s="3"/>
      <c r="I80" s="33"/>
      <c r="J80" s="29"/>
      <c r="K80" s="10"/>
      <c r="L80" s="29"/>
      <c r="M80"/>
      <c r="N80" s="29"/>
      <c r="O80" s="3"/>
      <c r="P80" s="3"/>
      <c r="Q80" s="3"/>
      <c r="R80" s="3"/>
      <c r="T80"/>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c r="F82" s="23"/>
      <c r="G82" s="23"/>
      <c r="H82" s="26"/>
      <c r="I82" s="22"/>
      <c r="J82" s="22"/>
      <c r="K82" s="22"/>
      <c r="L82" s="22"/>
      <c r="M82" s="21"/>
      <c r="N82" s="22"/>
      <c r="O82" s="22"/>
      <c r="P82" s="22"/>
      <c r="Q82" s="23"/>
      <c r="R82" s="23"/>
      <c r="S82" s="22"/>
      <c r="T82" s="21"/>
      <c r="U82"/>
      <c r="V82"/>
      <c r="W82"/>
      <c r="X82"/>
      <c r="Y82"/>
      <c r="Z82" s="12"/>
      <c r="AA82" s="12"/>
      <c r="AB82" s="12"/>
      <c r="AC82" s="12"/>
      <c r="AD82" s="12"/>
      <c r="AE82" s="12"/>
      <c r="AF82" s="12"/>
      <c r="AG82" s="12"/>
      <c r="AH82" s="12"/>
      <c r="AI82" s="12"/>
    </row>
    <row r="83" spans="1:35" s="34" customFormat="1" x14ac:dyDescent="0.25">
      <c r="D83" s="40"/>
      <c r="E83" s="2" t="s">
        <v>238</v>
      </c>
      <c r="F83" s="3" t="s">
        <v>239</v>
      </c>
      <c r="G83" s="3" t="s">
        <v>48</v>
      </c>
      <c r="H83" s="3" t="s">
        <v>45</v>
      </c>
      <c r="I83" s="29">
        <v>0</v>
      </c>
      <c r="J83" s="29">
        <v>4</v>
      </c>
      <c r="K83" s="10" t="str">
        <f xml:space="preserve"> IFERROR("0x" &amp; DEC2HEX(VLOOKUP(F83,Common!$C$10:$D$34,2,FALSE),2) &amp; DEC2HEX(I83,3) &amp; DEC2HEX(VLOOKUP(G83,Common!$C$51:$D$55,2,FALSE),1) &amp; DEC2HEX(1+2*VLOOKUP(H83,Common!$C$69:$D$72,2,FALSE),1) &amp; DEC2HEX(IFERROR(LOG(J83,2),0),1),0)</f>
        <v>0x06000112</v>
      </c>
      <c r="L83" s="29" t="str">
        <f>IF(AND(LEN(E83)&lt;&gt;0,S83=""),F83&amp;"_"&amp;UPPER(E83),"")</f>
        <v>DBG_WRITES_CONF</v>
      </c>
      <c r="M83" t="s">
        <v>240</v>
      </c>
      <c r="N83" s="29"/>
      <c r="O83" s="29">
        <v>0</v>
      </c>
      <c r="P83" s="29">
        <v>1000000</v>
      </c>
      <c r="Q83" s="3" t="s">
        <v>241</v>
      </c>
      <c r="R83" s="29"/>
      <c r="S83" s="29"/>
      <c r="T83" t="s">
        <v>242</v>
      </c>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5"/>
      <c r="I107" s="22"/>
      <c r="J107" s="22"/>
      <c r="K107" s="22"/>
      <c r="L107" s="22"/>
      <c r="M107" s="24"/>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2"/>
      <c r="H108" s="22"/>
      <c r="I108" s="22"/>
      <c r="J108" s="22"/>
      <c r="K108" s="22"/>
      <c r="L108" s="22"/>
      <c r="M108" s="21"/>
      <c r="N108" s="22"/>
      <c r="O108" s="22"/>
      <c r="P108" s="22"/>
      <c r="Q108" s="22"/>
      <c r="R108" s="22"/>
      <c r="S108" s="22"/>
      <c r="T108" s="19"/>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2"/>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5"/>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19"/>
      <c r="F113" s="23"/>
      <c r="G113" s="22"/>
      <c r="H113" s="22"/>
      <c r="I113" s="22"/>
      <c r="J113" s="22"/>
      <c r="K113" s="22"/>
      <c r="L113" s="23"/>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3"/>
      <c r="I114" s="22"/>
      <c r="J114" s="22"/>
      <c r="K114" s="22"/>
      <c r="L114" s="22"/>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4"/>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19"/>
      <c r="F116" s="23"/>
      <c r="G116" s="22"/>
      <c r="H116" s="22"/>
      <c r="I116" s="22"/>
      <c r="J116" s="22"/>
      <c r="K116" s="22"/>
      <c r="L116" s="23"/>
      <c r="M116" s="21"/>
      <c r="N116" s="22"/>
      <c r="O116" s="22"/>
      <c r="P116" s="22"/>
      <c r="Q116" s="22"/>
      <c r="R116" s="28"/>
      <c r="S116" s="22"/>
      <c r="T116" s="24"/>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1"/>
      <c r="F117" s="23"/>
      <c r="G117" s="23"/>
      <c r="H117" s="23"/>
      <c r="I117" s="22"/>
      <c r="J117" s="22"/>
      <c r="K117" s="22"/>
      <c r="L117" s="22"/>
      <c r="M117" s="21"/>
      <c r="N117" s="22"/>
      <c r="O117" s="22"/>
      <c r="P117" s="22"/>
      <c r="Q117" s="22"/>
      <c r="R117" s="22"/>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3"/>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3"/>
      <c r="I120" s="22"/>
      <c r="J120" s="22"/>
      <c r="K120" s="22"/>
      <c r="L120" s="22"/>
      <c r="M120" s="21"/>
      <c r="N120" s="22"/>
      <c r="O120" s="22"/>
      <c r="P120" s="22"/>
      <c r="Q120" s="22"/>
      <c r="R120" s="28"/>
      <c r="S120" s="22"/>
      <c r="T120" s="24"/>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30"/>
      <c r="N121" s="22"/>
      <c r="O121" s="22"/>
      <c r="P121" s="22"/>
      <c r="Q121" s="23"/>
      <c r="R121" s="23"/>
      <c r="S121" s="22"/>
      <c r="T121" s="27"/>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4"/>
      <c r="N125" s="22"/>
      <c r="O125" s="22"/>
      <c r="P125" s="22"/>
      <c r="Q125" s="23"/>
      <c r="R125" s="23"/>
      <c r="S125" s="22"/>
      <c r="T125" s="24"/>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3"/>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2"/>
      <c r="R140" s="28"/>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1"/>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2"/>
      <c r="F147" s="22"/>
      <c r="G147" s="22"/>
      <c r="H147" s="22"/>
      <c r="I147" s="22"/>
      <c r="J147" s="22"/>
      <c r="K147" s="22"/>
      <c r="L147" s="22"/>
      <c r="M147" s="22"/>
      <c r="N147" s="22"/>
      <c r="O147" s="22"/>
      <c r="P147" s="22"/>
      <c r="Q147" s="22"/>
      <c r="R147" s="28"/>
      <c r="S147" s="22"/>
      <c r="T147" s="22"/>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1"/>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1"/>
      <c r="N180" s="22"/>
      <c r="O180" s="22"/>
      <c r="P180" s="22"/>
      <c r="Q180" s="23"/>
      <c r="R180" s="23"/>
      <c r="S180" s="22"/>
      <c r="T180" s="21"/>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s="24"/>
      <c r="F181" s="23"/>
      <c r="G181" s="22"/>
      <c r="H181" s="25"/>
      <c r="I181" s="22"/>
      <c r="J181" s="22"/>
      <c r="K181" s="22"/>
      <c r="L181" s="22"/>
      <c r="M181" s="24"/>
      <c r="N181" s="22"/>
      <c r="O181" s="22"/>
      <c r="P181" s="22"/>
      <c r="Q181" s="22"/>
      <c r="R181" s="22"/>
      <c r="S181" s="22"/>
      <c r="T181" s="19"/>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c r="F193"/>
      <c r="G193"/>
      <c r="H193"/>
      <c r="I193"/>
      <c r="J193"/>
      <c r="K193"/>
      <c r="L193"/>
      <c r="M193"/>
      <c r="N193"/>
      <c r="O193"/>
      <c r="P193"/>
      <c r="Q193"/>
      <c r="R193"/>
      <c r="S193"/>
      <c r="T193"/>
      <c r="U193"/>
      <c r="V193"/>
      <c r="W193"/>
      <c r="X193"/>
      <c r="Y193" s="12"/>
      <c r="Z193" s="12"/>
      <c r="AA193" s="12"/>
      <c r="AB193" s="12"/>
      <c r="AC193" s="12"/>
      <c r="AD193" s="12"/>
      <c r="AE193" s="12"/>
      <c r="AF193" s="12"/>
      <c r="AG193" s="12"/>
      <c r="AH193" s="12"/>
      <c r="AI193" s="12"/>
    </row>
    <row r="194" spans="1:35" s="10" customFormat="1" x14ac:dyDescent="0.25">
      <c r="A194" s="12"/>
      <c r="B194" s="12"/>
      <c r="C194" s="12"/>
      <c r="D194"/>
      <c r="E194" s="24"/>
      <c r="F194" s="23"/>
      <c r="G194" s="22"/>
      <c r="H194" s="22"/>
      <c r="I194" s="22"/>
      <c r="J194" s="22"/>
      <c r="K194" s="22"/>
      <c r="L194" s="22"/>
      <c r="M194" s="21"/>
      <c r="N194" s="22"/>
      <c r="O194" s="22"/>
      <c r="P194" s="22"/>
      <c r="Q194" s="22"/>
      <c r="R194" s="22"/>
      <c r="S194" s="22"/>
      <c r="T194" s="19"/>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2"/>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5"/>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19"/>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2"/>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3"/>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1"/>
      <c r="N214" s="22"/>
      <c r="O214" s="22"/>
      <c r="P214" s="22"/>
      <c r="Q214" s="22"/>
      <c r="R214" s="28"/>
      <c r="S214" s="22"/>
      <c r="T214" s="20"/>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2"/>
      <c r="H215" s="22"/>
      <c r="I215" s="22"/>
      <c r="J215" s="22"/>
      <c r="K215" s="22"/>
      <c r="L215" s="22"/>
      <c r="M215" s="21"/>
      <c r="N215" s="22"/>
      <c r="O215" s="22"/>
      <c r="P215" s="22"/>
      <c r="Q215" s="22"/>
      <c r="R215" s="22"/>
      <c r="S215" s="22"/>
      <c r="T215" s="19"/>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2"/>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5"/>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19"/>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2"/>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3"/>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1"/>
      <c r="N235" s="22"/>
      <c r="O235" s="22"/>
      <c r="P235" s="22"/>
      <c r="Q235" s="22"/>
      <c r="R235" s="28"/>
      <c r="S235" s="22"/>
      <c r="T235" s="20"/>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2"/>
      <c r="H236" s="22"/>
      <c r="I236" s="22"/>
      <c r="J236" s="22"/>
      <c r="K236" s="22"/>
      <c r="L236" s="22"/>
      <c r="M236" s="21"/>
      <c r="N236" s="22"/>
      <c r="O236" s="22"/>
      <c r="P236" s="22"/>
      <c r="Q236" s="22"/>
      <c r="R236" s="22"/>
      <c r="S236" s="22"/>
      <c r="T236" s="19"/>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2"/>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5"/>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19"/>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2"/>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3"/>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1"/>
      <c r="N256" s="22"/>
      <c r="O256" s="22"/>
      <c r="P256" s="22"/>
      <c r="Q256" s="22"/>
      <c r="R256" s="28"/>
      <c r="S256" s="22"/>
      <c r="T256" s="20"/>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2"/>
      <c r="H257" s="22"/>
      <c r="I257" s="22"/>
      <c r="J257" s="22"/>
      <c r="K257" s="22"/>
      <c r="L257" s="22"/>
      <c r="M257" s="21"/>
      <c r="N257" s="22"/>
      <c r="O257" s="22"/>
      <c r="P257" s="22"/>
      <c r="Q257" s="22"/>
      <c r="R257" s="22"/>
      <c r="S257" s="22"/>
      <c r="T257" s="19"/>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2"/>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5"/>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19"/>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2"/>
      <c r="F266" s="23"/>
      <c r="G266" s="22"/>
      <c r="H266" s="22"/>
      <c r="I266" s="22"/>
      <c r="J266" s="22"/>
      <c r="K266" s="22"/>
      <c r="L266" s="23"/>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2"/>
      <c r="R267" s="28"/>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3"/>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4"/>
      <c r="N276" s="22"/>
      <c r="O276" s="22"/>
      <c r="P276" s="22"/>
      <c r="Q276" s="23"/>
      <c r="R276" s="23"/>
      <c r="S276" s="22"/>
      <c r="T276" s="24"/>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s="24"/>
      <c r="F277" s="23"/>
      <c r="G277" s="23"/>
      <c r="H277" s="26"/>
      <c r="I277" s="22"/>
      <c r="J277" s="22"/>
      <c r="K277" s="22"/>
      <c r="L277" s="22"/>
      <c r="M277" s="21"/>
      <c r="N277" s="22"/>
      <c r="O277" s="22"/>
      <c r="P277" s="22"/>
      <c r="Q277" s="22"/>
      <c r="R277" s="28"/>
      <c r="S277" s="22"/>
      <c r="T277" s="20"/>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s="12"/>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c r="H410"/>
      <c r="I410"/>
      <c r="J410"/>
      <c r="K410"/>
      <c r="L410"/>
      <c r="M410"/>
      <c r="N410"/>
      <c r="O410"/>
      <c r="P410"/>
      <c r="Q410"/>
      <c r="R410"/>
      <c r="S410"/>
      <c r="T410"/>
      <c r="U410"/>
      <c r="V410"/>
      <c r="W410"/>
      <c r="X410"/>
      <c r="Y410"/>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c r="E469"/>
      <c r="F469"/>
      <c r="G469" s="3"/>
      <c r="H469" s="3"/>
      <c r="I469" s="3"/>
      <c r="J469" s="3"/>
      <c r="K469"/>
      <c r="L469"/>
      <c r="M469"/>
      <c r="N469" s="3"/>
      <c r="O469" s="3"/>
      <c r="P469" s="3"/>
      <c r="Q469" s="3"/>
      <c r="R469" s="3"/>
      <c r="S469"/>
      <c r="T469"/>
      <c r="U469"/>
      <c r="V469"/>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5"/>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c r="F474"/>
      <c r="G474" s="3"/>
      <c r="H474" s="3"/>
      <c r="I474" s="3"/>
      <c r="J474" s="3"/>
      <c r="K474"/>
      <c r="L474"/>
      <c r="M474"/>
      <c r="N474" s="3"/>
      <c r="O474" s="3"/>
      <c r="P474" s="3"/>
      <c r="Q474" s="3"/>
      <c r="R474" s="3"/>
      <c r="S474"/>
      <c r="T474"/>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G512" s="14"/>
      <c r="H512" s="17"/>
      <c r="I512" s="14"/>
      <c r="M512" s="12"/>
      <c r="T512" s="12"/>
      <c r="U512" s="12"/>
      <c r="V512" s="12"/>
      <c r="W512" s="12"/>
      <c r="X512" s="12"/>
      <c r="Y512" s="12"/>
      <c r="Z512" s="12"/>
      <c r="AA512" s="12"/>
      <c r="AB512" s="12"/>
      <c r="AC512" s="12"/>
      <c r="AD512" s="12"/>
      <c r="AE512" s="12"/>
      <c r="AF512" s="12"/>
      <c r="AG512" s="12"/>
      <c r="AH512" s="12"/>
      <c r="AI512"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row r="1343" spans="1:35" s="10" customFormat="1" x14ac:dyDescent="0.25">
      <c r="A1343" s="12"/>
      <c r="B1343" s="12"/>
      <c r="C1343" s="12"/>
      <c r="D1343" s="12"/>
      <c r="E1343" s="12"/>
      <c r="I1343" s="14"/>
      <c r="M1343" s="12"/>
      <c r="T1343" s="12"/>
      <c r="U1343" s="12"/>
      <c r="V1343" s="12"/>
      <c r="W1343" s="12"/>
      <c r="X1343" s="12"/>
      <c r="Y1343" s="12"/>
      <c r="Z1343" s="12"/>
      <c r="AA1343" s="12"/>
      <c r="AB1343" s="12"/>
      <c r="AC1343" s="12"/>
      <c r="AD1343" s="12"/>
      <c r="AE1343" s="12"/>
      <c r="AF1343" s="12"/>
      <c r="AG1343" s="12"/>
      <c r="AH1343" s="12"/>
      <c r="AI1343"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10</xdr:col>
                <xdr:colOff>781050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8" sqref="F18"/>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253</v>
      </c>
      <c r="D16" s="3">
        <v>5</v>
      </c>
      <c r="E16" t="s">
        <v>254</v>
      </c>
      <c r="F16" t="s">
        <v>255</v>
      </c>
    </row>
    <row r="17" spans="3:6" x14ac:dyDescent="0.25">
      <c r="C17" t="s">
        <v>239</v>
      </c>
      <c r="D17" s="3">
        <v>6</v>
      </c>
      <c r="E17" t="s">
        <v>87</v>
      </c>
      <c r="F17" t="s">
        <v>256</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2024-02-27T11:55:41Z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